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esktop\UCSD\Quarter3\ECE268\"/>
    </mc:Choice>
  </mc:AlternateContent>
  <bookViews>
    <workbookView xWindow="0" yWindow="0" windowWidth="23040" windowHeight="919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8" i="1" l="1"/>
  <c r="C27" i="1"/>
  <c r="D28" i="1"/>
  <c r="D29" i="1" s="1"/>
  <c r="D27" i="1"/>
  <c r="F28" i="1"/>
  <c r="F27" i="1"/>
  <c r="G28" i="1"/>
  <c r="F29" i="1"/>
  <c r="G27" i="1"/>
  <c r="I28" i="1"/>
  <c r="I27" i="1"/>
  <c r="J28" i="1"/>
  <c r="J27" i="1"/>
  <c r="L28" i="1"/>
  <c r="L27" i="1"/>
  <c r="L29" i="1" s="1"/>
  <c r="M28" i="1"/>
  <c r="M27" i="1"/>
  <c r="O28" i="1"/>
  <c r="O27" i="1"/>
  <c r="P28" i="1"/>
  <c r="P27" i="1"/>
  <c r="P29" i="1" s="1"/>
  <c r="P25" i="1"/>
  <c r="P24" i="1"/>
  <c r="O26" i="1"/>
  <c r="O25" i="1"/>
  <c r="M24" i="1"/>
  <c r="M25" i="1"/>
  <c r="L25" i="1"/>
  <c r="L24" i="1"/>
  <c r="L26" i="1" s="1"/>
  <c r="J25" i="1"/>
  <c r="J24" i="1"/>
  <c r="I25" i="1"/>
  <c r="I24" i="1"/>
  <c r="I26" i="1" s="1"/>
  <c r="G24" i="1"/>
  <c r="G26" i="1" s="1"/>
  <c r="G25" i="1"/>
  <c r="F25" i="1"/>
  <c r="F24" i="1"/>
  <c r="C25" i="1"/>
  <c r="D25" i="1"/>
  <c r="D24" i="1"/>
  <c r="C24" i="1"/>
  <c r="P22" i="1"/>
  <c r="P23" i="1" s="1"/>
  <c r="O22" i="1"/>
  <c r="O23" i="1" s="1"/>
  <c r="M22" i="1"/>
  <c r="L22" i="1"/>
  <c r="J22" i="1"/>
  <c r="I22" i="1"/>
  <c r="G22" i="1"/>
  <c r="F22" i="1"/>
  <c r="D22" i="1"/>
  <c r="D21" i="1"/>
  <c r="C22" i="1"/>
  <c r="P21" i="1"/>
  <c r="O21" i="1"/>
  <c r="M21" i="1"/>
  <c r="L21" i="1"/>
  <c r="J21" i="1"/>
  <c r="I21" i="1"/>
  <c r="I23" i="1" s="1"/>
  <c r="G21" i="1"/>
  <c r="F21" i="1"/>
  <c r="C21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F13" i="1"/>
  <c r="E13" i="1"/>
  <c r="D13" i="1"/>
  <c r="C13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F10" i="1"/>
  <c r="E10" i="1"/>
  <c r="D10" i="1"/>
  <c r="C10" i="1"/>
  <c r="G7" i="1"/>
  <c r="H7" i="1"/>
  <c r="I7" i="1"/>
  <c r="K7" i="1"/>
  <c r="L7" i="1"/>
  <c r="M7" i="1"/>
  <c r="N7" i="1"/>
  <c r="O7" i="1"/>
  <c r="P7" i="1"/>
  <c r="Q7" i="1"/>
  <c r="R7" i="1"/>
  <c r="S7" i="1"/>
  <c r="T7" i="1"/>
  <c r="U7" i="1"/>
  <c r="V7" i="1"/>
  <c r="F7" i="1"/>
  <c r="E7" i="1"/>
  <c r="D7" i="1"/>
  <c r="C7" i="1"/>
  <c r="J7" i="1"/>
  <c r="C29" i="1" l="1"/>
  <c r="G29" i="1"/>
  <c r="I29" i="1"/>
  <c r="J29" i="1"/>
  <c r="M29" i="1"/>
  <c r="O29" i="1"/>
  <c r="P26" i="1"/>
  <c r="M26" i="1"/>
  <c r="J26" i="1"/>
  <c r="F26" i="1"/>
  <c r="C26" i="1"/>
  <c r="D26" i="1"/>
  <c r="M23" i="1"/>
  <c r="L23" i="1"/>
  <c r="J23" i="1"/>
  <c r="G23" i="1"/>
  <c r="F23" i="1"/>
  <c r="D23" i="1"/>
  <c r="C23" i="1"/>
</calcChain>
</file>

<file path=xl/sharedStrings.xml><?xml version="1.0" encoding="utf-8"?>
<sst xmlns="http://schemas.openxmlformats.org/spreadsheetml/2006/main" count="78" uniqueCount="18">
  <si>
    <t>Cipher</t>
  </si>
  <si>
    <t>Plaintext Size</t>
  </si>
  <si>
    <t>CPU</t>
  </si>
  <si>
    <t>GPU</t>
  </si>
  <si>
    <t>Speedup</t>
  </si>
  <si>
    <t>PRESENT-80</t>
  </si>
  <si>
    <t>1 KB</t>
  </si>
  <si>
    <t>Encryption</t>
  </si>
  <si>
    <t>Throughput (MB/s)</t>
  </si>
  <si>
    <t>Decryption</t>
  </si>
  <si>
    <t>SPECK-64</t>
  </si>
  <si>
    <t>AES-128</t>
  </si>
  <si>
    <t>64 KB</t>
  </si>
  <si>
    <t>16 MB</t>
  </si>
  <si>
    <t>64 MB</t>
  </si>
  <si>
    <t>Time (ms)</t>
  </si>
  <si>
    <t>1 MB</t>
  </si>
  <si>
    <t>Thoughput (MB/s)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</si>
</sst>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29"/>
  <sheetViews>
    <sheetView tabSelected="1" workbookViewId="0">
      <selection activeCell="V8" sqref="V8"/>
    </sheetView>
  </sheetViews>
  <sheetFormatPr defaultRowHeight="14.4" x14ac:dyDescent="0.3"/>
  <cols>
    <col min="1" max="1" width="11" bestFit="1" customWidth="1"/>
  </cols>
  <sheetData>
    <row r="1" spans="1:22" x14ac:dyDescent="0.3">
      <c r="A1" s="1" t="s">
        <v>0</v>
      </c>
      <c r="B1" s="2"/>
      <c r="C1" s="3" t="s">
        <v>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x14ac:dyDescent="0.3">
      <c r="A2" s="2"/>
      <c r="B2" s="2"/>
      <c r="C2" s="3" t="s">
        <v>6</v>
      </c>
      <c r="D2" s="3"/>
      <c r="E2" s="3"/>
      <c r="F2" s="3"/>
      <c r="G2" s="3" t="s">
        <v>12</v>
      </c>
      <c r="H2" s="3"/>
      <c r="I2" s="3"/>
      <c r="J2" s="3"/>
      <c r="K2" s="3" t="s">
        <v>16</v>
      </c>
      <c r="L2" s="3"/>
      <c r="M2" s="3"/>
      <c r="N2" s="3"/>
      <c r="O2" s="3" t="s">
        <v>13</v>
      </c>
      <c r="P2" s="3"/>
      <c r="Q2" s="3"/>
      <c r="R2" s="3"/>
      <c r="S2" s="3" t="s">
        <v>14</v>
      </c>
      <c r="T2" s="3"/>
      <c r="U2" s="3"/>
      <c r="V2" s="3"/>
    </row>
    <row r="3" spans="1:22" x14ac:dyDescent="0.3">
      <c r="A3" s="2"/>
      <c r="B3" s="2"/>
      <c r="C3" s="3" t="s">
        <v>7</v>
      </c>
      <c r="D3" s="3"/>
      <c r="E3" s="3" t="s">
        <v>9</v>
      </c>
      <c r="F3" s="3"/>
      <c r="G3" s="3" t="s">
        <v>7</v>
      </c>
      <c r="H3" s="3"/>
      <c r="I3" s="3" t="s">
        <v>9</v>
      </c>
      <c r="J3" s="3"/>
      <c r="K3" s="3" t="s">
        <v>7</v>
      </c>
      <c r="L3" s="3"/>
      <c r="M3" s="3" t="s">
        <v>9</v>
      </c>
      <c r="N3" s="3"/>
      <c r="O3" s="3" t="s">
        <v>7</v>
      </c>
      <c r="P3" s="3"/>
      <c r="Q3" s="3" t="s">
        <v>9</v>
      </c>
      <c r="R3" s="3"/>
      <c r="S3" s="3" t="s">
        <v>7</v>
      </c>
      <c r="T3" s="3"/>
      <c r="U3" s="3" t="s">
        <v>9</v>
      </c>
      <c r="V3" s="3"/>
    </row>
    <row r="4" spans="1:22" x14ac:dyDescent="0.3">
      <c r="A4" s="2"/>
      <c r="B4" s="2"/>
      <c r="C4" s="2" t="s">
        <v>15</v>
      </c>
      <c r="D4" s="2" t="s">
        <v>8</v>
      </c>
      <c r="E4" s="2" t="s">
        <v>15</v>
      </c>
      <c r="F4" s="2" t="s">
        <v>8</v>
      </c>
      <c r="G4" s="2" t="s">
        <v>15</v>
      </c>
      <c r="H4" s="2" t="s">
        <v>8</v>
      </c>
      <c r="I4" s="2" t="s">
        <v>15</v>
      </c>
      <c r="J4" s="2" t="s">
        <v>8</v>
      </c>
      <c r="K4" s="2" t="s">
        <v>15</v>
      </c>
      <c r="L4" s="2" t="s">
        <v>8</v>
      </c>
      <c r="M4" s="2" t="s">
        <v>15</v>
      </c>
      <c r="N4" s="2" t="s">
        <v>8</v>
      </c>
      <c r="O4" s="2" t="s">
        <v>15</v>
      </c>
      <c r="P4" s="2" t="s">
        <v>8</v>
      </c>
      <c r="Q4" s="2" t="s">
        <v>15</v>
      </c>
      <c r="R4" s="2" t="s">
        <v>8</v>
      </c>
      <c r="S4" s="2" t="s">
        <v>15</v>
      </c>
      <c r="T4" s="2" t="s">
        <v>8</v>
      </c>
      <c r="U4" s="2" t="s">
        <v>15</v>
      </c>
      <c r="V4" s="2" t="s">
        <v>8</v>
      </c>
    </row>
    <row r="5" spans="1:22" x14ac:dyDescent="0.3">
      <c r="A5" s="4" t="s">
        <v>5</v>
      </c>
      <c r="B5" s="2" t="s">
        <v>2</v>
      </c>
      <c r="C5">
        <v>0.69430000000000003</v>
      </c>
      <c r="D5">
        <v>1.4746999999999999</v>
      </c>
      <c r="E5">
        <v>0.69850000000000001</v>
      </c>
      <c r="F5">
        <v>1.466</v>
      </c>
      <c r="G5">
        <v>45.254300000000001</v>
      </c>
      <c r="H5">
        <v>1.4481999999999999</v>
      </c>
      <c r="I5">
        <v>45.820799999999998</v>
      </c>
      <c r="J5">
        <v>1.4302999999999999</v>
      </c>
      <c r="K5">
        <v>721.74509999999998</v>
      </c>
      <c r="L5">
        <v>1.4528000000000001</v>
      </c>
      <c r="M5">
        <v>730.62950000000001</v>
      </c>
      <c r="N5">
        <v>1.4352</v>
      </c>
      <c r="O5">
        <v>11847.734700000001</v>
      </c>
      <c r="P5">
        <v>1.4160999999999999</v>
      </c>
      <c r="Q5">
        <v>12017.543100000001</v>
      </c>
      <c r="R5">
        <v>1.3960999999999999</v>
      </c>
      <c r="S5">
        <v>47038.959499999997</v>
      </c>
      <c r="T5">
        <v>1.4267000000000001</v>
      </c>
      <c r="U5">
        <v>529.2559</v>
      </c>
      <c r="V5">
        <v>1.4158999999999999</v>
      </c>
    </row>
    <row r="6" spans="1:22" x14ac:dyDescent="0.3">
      <c r="A6" s="4"/>
      <c r="B6" s="2" t="s">
        <v>3</v>
      </c>
      <c r="C6">
        <v>2.3300000000000001E-2</v>
      </c>
      <c r="D6">
        <v>43.904699999999998</v>
      </c>
      <c r="E6">
        <v>2.3400000000000001E-2</v>
      </c>
      <c r="F6">
        <v>43.709499999999998</v>
      </c>
      <c r="G6">
        <v>4.2099999999999999E-2</v>
      </c>
      <c r="H6">
        <v>1555.9047</v>
      </c>
      <c r="I6">
        <v>4.1500000000000002E-2</v>
      </c>
      <c r="J6">
        <v>1579.9494999999999</v>
      </c>
      <c r="K6">
        <v>0.16300000000000001</v>
      </c>
      <c r="L6">
        <v>6434.4342999999999</v>
      </c>
      <c r="M6" s="5">
        <v>0.1608</v>
      </c>
      <c r="N6">
        <v>6520.9951000000001</v>
      </c>
      <c r="O6">
        <v>2.5112999999999999</v>
      </c>
      <c r="P6">
        <v>6680.7853999999998</v>
      </c>
      <c r="Q6">
        <v>2.4958999999999998</v>
      </c>
      <c r="R6">
        <v>6721.9166999999998</v>
      </c>
      <c r="S6">
        <v>8.9229000000000003</v>
      </c>
      <c r="T6">
        <v>7520.9544999999998</v>
      </c>
      <c r="U6">
        <v>8.9352</v>
      </c>
      <c r="V6">
        <v>7510.5847000000003</v>
      </c>
    </row>
    <row r="7" spans="1:22" x14ac:dyDescent="0.3">
      <c r="A7" s="4"/>
      <c r="B7" s="2" t="s">
        <v>4</v>
      </c>
      <c r="C7">
        <f>C5/C6</f>
        <v>29.798283261802574</v>
      </c>
      <c r="D7">
        <f>D6/D5</f>
        <v>29.771953617684954</v>
      </c>
      <c r="E7">
        <f>E5/E6</f>
        <v>29.850427350427349</v>
      </c>
      <c r="F7">
        <f>F6/F5</f>
        <v>29.815484311050476</v>
      </c>
      <c r="G7">
        <f t="shared" ref="G7" si="0">G5/G6</f>
        <v>1074.9239904988124</v>
      </c>
      <c r="H7">
        <f t="shared" ref="H7" si="1">H6/H5</f>
        <v>1074.3714265985361</v>
      </c>
      <c r="I7">
        <f t="shared" ref="I7" si="2">I5/I6</f>
        <v>1104.1156626506024</v>
      </c>
      <c r="J7">
        <f t="shared" ref="J7" si="3">J6/J5</f>
        <v>1104.6280500594282</v>
      </c>
      <c r="K7">
        <f t="shared" ref="K7" si="4">K5/K6</f>
        <v>4427.8840490797547</v>
      </c>
      <c r="L7">
        <f t="shared" ref="L7" si="5">L6/L5</f>
        <v>4428.9883672907481</v>
      </c>
      <c r="M7">
        <f t="shared" ref="M7" si="6">M5/M6</f>
        <v>4543.7157960199002</v>
      </c>
      <c r="N7">
        <f t="shared" ref="N7" si="7">N6/N5</f>
        <v>4543.6142001114831</v>
      </c>
      <c r="O7">
        <f t="shared" ref="O7" si="8">O5/O6</f>
        <v>4717.7695615816519</v>
      </c>
      <c r="P7">
        <f t="shared" ref="P7" si="9">P6/P5</f>
        <v>4717.735611891816</v>
      </c>
      <c r="Q7">
        <f t="shared" ref="Q7" si="10">Q5/Q6</f>
        <v>4814.9136984654842</v>
      </c>
      <c r="R7">
        <f t="shared" ref="R7" si="11">R6/R5</f>
        <v>4814.7816775302626</v>
      </c>
      <c r="S7">
        <f t="shared" ref="S7" si="12">S5/S6</f>
        <v>5271.7120554976518</v>
      </c>
      <c r="T7">
        <f t="shared" ref="T7" si="13">T6/T5</f>
        <v>5271.5739118244901</v>
      </c>
      <c r="U7">
        <f t="shared" ref="U7" si="14">U5/U6</f>
        <v>59.232686453576861</v>
      </c>
      <c r="V7">
        <f t="shared" ref="V7" si="15">V6/V5</f>
        <v>5304.4598488593829</v>
      </c>
    </row>
    <row r="8" spans="1:22" x14ac:dyDescent="0.3">
      <c r="A8" s="4" t="s">
        <v>10</v>
      </c>
      <c r="B8" s="2" t="s">
        <v>2</v>
      </c>
      <c r="C8">
        <v>8.9999999999999998E-4</v>
      </c>
      <c r="D8">
        <v>1178.5260000000001</v>
      </c>
      <c r="E8">
        <v>1.1999999999999999E-3</v>
      </c>
      <c r="F8">
        <v>890.06020000000001</v>
      </c>
      <c r="G8">
        <v>5.4100000000000002E-2</v>
      </c>
      <c r="H8">
        <v>1211.7537</v>
      </c>
      <c r="I8">
        <v>7.1900000000000006E-2</v>
      </c>
      <c r="J8">
        <v>912.00649999999996</v>
      </c>
      <c r="K8">
        <v>0.94299999999999995</v>
      </c>
      <c r="L8">
        <v>1112.0155999999999</v>
      </c>
      <c r="M8">
        <v>1.2210000000000001</v>
      </c>
      <c r="N8">
        <v>858.79110000000003</v>
      </c>
      <c r="O8">
        <v>15.5174</v>
      </c>
      <c r="P8">
        <v>1081.1893</v>
      </c>
      <c r="Q8">
        <v>19.549700000000001</v>
      </c>
      <c r="R8">
        <v>858.18349999999998</v>
      </c>
      <c r="S8">
        <v>60.403500000000001</v>
      </c>
      <c r="T8">
        <v>1111.0091</v>
      </c>
      <c r="U8">
        <v>77.887600000000006</v>
      </c>
      <c r="V8">
        <v>861.61189999999999</v>
      </c>
    </row>
    <row r="9" spans="1:22" x14ac:dyDescent="0.3">
      <c r="A9" s="4"/>
      <c r="B9" s="2" t="s">
        <v>3</v>
      </c>
      <c r="C9">
        <v>1.8E-3</v>
      </c>
      <c r="D9">
        <v>571.42859999999996</v>
      </c>
      <c r="E9">
        <v>1.9E-3</v>
      </c>
      <c r="F9">
        <v>549.90380000000005</v>
      </c>
      <c r="G9">
        <v>1.9E-3</v>
      </c>
      <c r="H9">
        <v>34320.954299999998</v>
      </c>
      <c r="I9">
        <v>1.9E-3</v>
      </c>
      <c r="J9">
        <v>34042.552900000002</v>
      </c>
      <c r="K9">
        <v>4.5999999999999999E-3</v>
      </c>
      <c r="L9">
        <v>225986.2052</v>
      </c>
      <c r="M9">
        <v>4.4999999999999997E-3</v>
      </c>
      <c r="N9">
        <v>235402.29790000001</v>
      </c>
      <c r="O9">
        <v>2.0199999999999999E-2</v>
      </c>
      <c r="P9">
        <v>830621.04920000001</v>
      </c>
      <c r="Q9">
        <v>1.5299999999999999E-2</v>
      </c>
      <c r="R9">
        <v>1096378.0903</v>
      </c>
      <c r="S9">
        <v>0.1885</v>
      </c>
      <c r="T9">
        <v>356004.61940000003</v>
      </c>
      <c r="U9">
        <v>0.13880000000000001</v>
      </c>
      <c r="V9">
        <v>483326.11969999998</v>
      </c>
    </row>
    <row r="10" spans="1:22" x14ac:dyDescent="0.3">
      <c r="A10" s="4"/>
      <c r="B10" s="2" t="s">
        <v>4</v>
      </c>
      <c r="C10">
        <f>C8/C9</f>
        <v>0.5</v>
      </c>
      <c r="D10">
        <f>D9/D8</f>
        <v>0.48486719851747007</v>
      </c>
      <c r="E10">
        <f>E8/E9</f>
        <v>0.63157894736842102</v>
      </c>
      <c r="F10">
        <f>F9/F8</f>
        <v>0.61782764806245694</v>
      </c>
      <c r="G10">
        <f t="shared" ref="G10" si="16">G8/G9</f>
        <v>28.473684210526319</v>
      </c>
      <c r="H10">
        <f t="shared" ref="H10" si="17">H9/H8</f>
        <v>28.323374873953345</v>
      </c>
      <c r="I10">
        <f t="shared" ref="I10" si="18">I8/I9</f>
        <v>37.842105263157897</v>
      </c>
      <c r="J10">
        <f t="shared" ref="J10" si="19">J9/J8</f>
        <v>37.32709459855824</v>
      </c>
      <c r="K10">
        <f t="shared" ref="K10" si="20">K8/K9</f>
        <v>205</v>
      </c>
      <c r="L10">
        <f t="shared" ref="L10" si="21">L9/L8</f>
        <v>203.22215371798742</v>
      </c>
      <c r="M10">
        <f t="shared" ref="M10" si="22">M8/M9</f>
        <v>271.33333333333337</v>
      </c>
      <c r="N10">
        <f t="shared" ref="N10" si="23">N9/N8</f>
        <v>274.10891647572964</v>
      </c>
      <c r="O10">
        <f t="shared" ref="O10" si="24">O8/O9</f>
        <v>768.18811881188128</v>
      </c>
      <c r="P10">
        <f t="shared" ref="P10" si="25">P9/P8</f>
        <v>768.24756700792364</v>
      </c>
      <c r="Q10">
        <f t="shared" ref="Q10" si="26">Q8/Q9</f>
        <v>1277.7581699346406</v>
      </c>
      <c r="R10">
        <f t="shared" ref="R10" si="27">R9/R8</f>
        <v>1277.5567117055969</v>
      </c>
      <c r="S10">
        <f t="shared" ref="S10" si="28">S8/S9</f>
        <v>320.44297082228115</v>
      </c>
      <c r="T10">
        <f t="shared" ref="T10" si="29">T9/T8</f>
        <v>320.43357646665544</v>
      </c>
      <c r="U10">
        <f t="shared" ref="U10" si="30">U8/U9</f>
        <v>561.14985590778099</v>
      </c>
      <c r="V10">
        <f t="shared" ref="V10" si="31">V9/V8</f>
        <v>560.95571532844428</v>
      </c>
    </row>
    <row r="11" spans="1:22" x14ac:dyDescent="0.3">
      <c r="A11" s="4" t="s">
        <v>11</v>
      </c>
      <c r="B11" s="2" t="s">
        <v>2</v>
      </c>
      <c r="C11">
        <v>4.2799999999999998E-2</v>
      </c>
      <c r="D11">
        <v>23.9206</v>
      </c>
      <c r="E11">
        <v>6.8099999999999994E-2</v>
      </c>
      <c r="F11">
        <v>15.0428</v>
      </c>
      <c r="G11">
        <v>2.7645</v>
      </c>
      <c r="H11">
        <v>23.7059</v>
      </c>
      <c r="I11">
        <v>4.3960999999999997</v>
      </c>
      <c r="J11">
        <v>14.9077</v>
      </c>
      <c r="K11">
        <v>44.857100000000003</v>
      </c>
      <c r="L11">
        <v>23.375900000000001</v>
      </c>
      <c r="M11">
        <v>69.989999999999995</v>
      </c>
      <c r="N11">
        <v>14.9817</v>
      </c>
      <c r="O11">
        <v>710.48760000000004</v>
      </c>
      <c r="P11">
        <v>23.613700000000001</v>
      </c>
      <c r="Q11">
        <v>1127.1425999999999</v>
      </c>
      <c r="R11">
        <v>14.8847</v>
      </c>
      <c r="S11">
        <v>2840.0414999999998</v>
      </c>
      <c r="T11">
        <v>23.6295</v>
      </c>
      <c r="U11">
        <v>4502.7228999999998</v>
      </c>
      <c r="V11">
        <v>14.9041</v>
      </c>
    </row>
    <row r="12" spans="1:22" x14ac:dyDescent="0.3">
      <c r="A12" s="4"/>
      <c r="B12" s="2" t="s">
        <v>3</v>
      </c>
      <c r="C12">
        <v>1.1599999999999999E-2</v>
      </c>
      <c r="D12">
        <v>88.514700000000005</v>
      </c>
      <c r="E12">
        <v>1.1299999999999999E-2</v>
      </c>
      <c r="F12">
        <v>90.995900000000006</v>
      </c>
      <c r="G12">
        <v>2.01E-2</v>
      </c>
      <c r="H12">
        <v>3257.4947000000002</v>
      </c>
      <c r="I12">
        <v>1.89E-2</v>
      </c>
      <c r="J12">
        <v>3476.3243000000002</v>
      </c>
      <c r="K12">
        <v>0.04</v>
      </c>
      <c r="L12">
        <v>26222.791499999999</v>
      </c>
      <c r="M12">
        <v>3.7499999999999999E-2</v>
      </c>
      <c r="N12">
        <v>27997.264899999998</v>
      </c>
      <c r="O12">
        <v>0.51649999999999996</v>
      </c>
      <c r="P12">
        <v>32483.7667</v>
      </c>
      <c r="Q12">
        <v>0.4763</v>
      </c>
      <c r="R12">
        <v>35223.520400000001</v>
      </c>
      <c r="S12">
        <v>2.0545</v>
      </c>
      <c r="T12">
        <v>32664.190200000001</v>
      </c>
      <c r="U12">
        <v>1.8939999999999999</v>
      </c>
      <c r="V12">
        <v>35432.286500000002</v>
      </c>
    </row>
    <row r="13" spans="1:22" x14ac:dyDescent="0.3">
      <c r="A13" s="4"/>
      <c r="B13" s="2" t="s">
        <v>4</v>
      </c>
      <c r="C13">
        <f>C11/C12</f>
        <v>3.6896551724137931</v>
      </c>
      <c r="D13">
        <f>D12/D11</f>
        <v>3.7003545061578724</v>
      </c>
      <c r="E13">
        <f>E11/E12</f>
        <v>6.0265486725663715</v>
      </c>
      <c r="F13">
        <f>F12/F11</f>
        <v>6.0491331401068953</v>
      </c>
      <c r="G13">
        <f t="shared" ref="G13" si="32">G11/G12</f>
        <v>137.53731343283582</v>
      </c>
      <c r="H13">
        <f t="shared" ref="H13" si="33">H12/H11</f>
        <v>137.41282549913734</v>
      </c>
      <c r="I13">
        <f t="shared" ref="I13" si="34">I11/I12</f>
        <v>232.59788359788357</v>
      </c>
      <c r="J13">
        <f t="shared" ref="J13" si="35">J12/J11</f>
        <v>233.18984819925274</v>
      </c>
      <c r="K13">
        <f t="shared" ref="K13" si="36">K11/K12</f>
        <v>1121.4275</v>
      </c>
      <c r="L13">
        <f t="shared" ref="L13" si="37">L12/L11</f>
        <v>1121.7874605897525</v>
      </c>
      <c r="M13">
        <f t="shared" ref="M13" si="38">M11/M12</f>
        <v>1866.3999999999999</v>
      </c>
      <c r="N13">
        <f t="shared" ref="N13" si="39">N12/N11</f>
        <v>1868.7642190138636</v>
      </c>
      <c r="O13">
        <f t="shared" ref="O13" si="40">O11/O12</f>
        <v>1375.5810261374638</v>
      </c>
      <c r="P13">
        <f t="shared" ref="P13" si="41">P12/P11</f>
        <v>1375.6322262076676</v>
      </c>
      <c r="Q13">
        <f t="shared" ref="Q13" si="42">Q11/Q12</f>
        <v>2366.4551753096785</v>
      </c>
      <c r="R13">
        <f t="shared" ref="R13" si="43">R12/R11</f>
        <v>2366.4246105060902</v>
      </c>
      <c r="S13">
        <f t="shared" ref="S13" si="44">S11/S12</f>
        <v>1382.3516670722802</v>
      </c>
      <c r="T13">
        <f t="shared" ref="T13" si="45">T12/T11</f>
        <v>1382.3479210309147</v>
      </c>
      <c r="U13">
        <f t="shared" ref="U13" si="46">U11/U12</f>
        <v>2377.3616156282997</v>
      </c>
      <c r="V13">
        <f t="shared" ref="V13" si="47">V12/V11</f>
        <v>2377.3516347850591</v>
      </c>
    </row>
    <row r="18" spans="1:22" x14ac:dyDescent="0.3">
      <c r="A18" s="1" t="s">
        <v>0</v>
      </c>
      <c r="B18" s="2"/>
      <c r="C18" s="3" t="s">
        <v>17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6"/>
      <c r="R18" s="6"/>
      <c r="S18" s="6"/>
      <c r="T18" s="6"/>
      <c r="U18" s="6"/>
      <c r="V18" s="6"/>
    </row>
    <row r="19" spans="1:22" x14ac:dyDescent="0.3">
      <c r="A19" s="2"/>
      <c r="B19" s="2"/>
      <c r="C19" s="3" t="s">
        <v>6</v>
      </c>
      <c r="D19" s="3"/>
      <c r="F19" s="3" t="s">
        <v>12</v>
      </c>
      <c r="G19" s="3"/>
      <c r="H19" s="6"/>
      <c r="I19" s="3" t="s">
        <v>16</v>
      </c>
      <c r="J19" s="3"/>
      <c r="L19" s="3" t="s">
        <v>13</v>
      </c>
      <c r="M19" s="3"/>
      <c r="N19" s="6"/>
      <c r="O19" s="3" t="s">
        <v>14</v>
      </c>
      <c r="P19" s="3"/>
      <c r="Q19" s="6"/>
      <c r="R19" s="6"/>
      <c r="V19" s="6"/>
    </row>
    <row r="20" spans="1:22" x14ac:dyDescent="0.3">
      <c r="A20" s="2"/>
      <c r="B20" s="2"/>
      <c r="C20" s="6" t="s">
        <v>7</v>
      </c>
      <c r="D20" s="6" t="s">
        <v>9</v>
      </c>
      <c r="F20" s="6" t="s">
        <v>7</v>
      </c>
      <c r="G20" s="6" t="s">
        <v>9</v>
      </c>
      <c r="H20" s="6"/>
      <c r="I20" s="6" t="s">
        <v>7</v>
      </c>
      <c r="J20" s="6" t="s">
        <v>9</v>
      </c>
      <c r="L20" s="6" t="s">
        <v>7</v>
      </c>
      <c r="M20" s="6" t="s">
        <v>9</v>
      </c>
      <c r="O20" s="6" t="s">
        <v>7</v>
      </c>
      <c r="P20" s="6" t="s">
        <v>9</v>
      </c>
      <c r="R20" s="6"/>
      <c r="V20" s="6"/>
    </row>
    <row r="21" spans="1:22" x14ac:dyDescent="0.3">
      <c r="A21" s="4" t="s">
        <v>5</v>
      </c>
      <c r="B21" s="2" t="s">
        <v>2</v>
      </c>
      <c r="C21">
        <f>D5</f>
        <v>1.4746999999999999</v>
      </c>
      <c r="D21">
        <f>F5</f>
        <v>1.466</v>
      </c>
      <c r="F21">
        <f>H5</f>
        <v>1.4481999999999999</v>
      </c>
      <c r="G21">
        <f>J5</f>
        <v>1.4302999999999999</v>
      </c>
      <c r="I21">
        <f>L5</f>
        <v>1.4528000000000001</v>
      </c>
      <c r="J21">
        <f>N5</f>
        <v>1.4352</v>
      </c>
      <c r="L21">
        <f>P5</f>
        <v>1.4160999999999999</v>
      </c>
      <c r="M21">
        <f>R5</f>
        <v>1.3960999999999999</v>
      </c>
      <c r="O21">
        <f>T5</f>
        <v>1.4267000000000001</v>
      </c>
      <c r="P21">
        <f>V5</f>
        <v>1.4158999999999999</v>
      </c>
    </row>
    <row r="22" spans="1:22" x14ac:dyDescent="0.3">
      <c r="A22" s="4"/>
      <c r="B22" s="2" t="s">
        <v>3</v>
      </c>
      <c r="C22">
        <f>D6</f>
        <v>43.904699999999998</v>
      </c>
      <c r="D22">
        <f>F6</f>
        <v>43.709499999999998</v>
      </c>
      <c r="F22">
        <f>H6</f>
        <v>1555.9047</v>
      </c>
      <c r="G22">
        <f>J6</f>
        <v>1579.9494999999999</v>
      </c>
      <c r="I22">
        <f>L6</f>
        <v>6434.4342999999999</v>
      </c>
      <c r="J22">
        <f>N6</f>
        <v>6520.9951000000001</v>
      </c>
      <c r="L22">
        <f>P6</f>
        <v>6680.7853999999998</v>
      </c>
      <c r="M22">
        <f>R6</f>
        <v>6721.9166999999998</v>
      </c>
      <c r="O22">
        <f>T6</f>
        <v>7520.9544999999998</v>
      </c>
      <c r="P22">
        <f>V6</f>
        <v>7510.5847000000003</v>
      </c>
    </row>
    <row r="23" spans="1:22" x14ac:dyDescent="0.3">
      <c r="A23" s="4"/>
      <c r="B23" s="2" t="s">
        <v>4</v>
      </c>
      <c r="C23">
        <f>C22/C21</f>
        <v>29.771953617684954</v>
      </c>
      <c r="D23">
        <f>D22/D21</f>
        <v>29.815484311050476</v>
      </c>
      <c r="F23">
        <f t="shared" ref="F23" si="48">F22/F21</f>
        <v>1074.3714265985361</v>
      </c>
      <c r="G23">
        <f t="shared" ref="G23" si="49">G22/G21</f>
        <v>1104.6280500594282</v>
      </c>
      <c r="I23">
        <f t="shared" ref="I23" si="50">I22/I21</f>
        <v>4428.9883672907481</v>
      </c>
      <c r="J23">
        <f t="shared" ref="J23" si="51">J22/J21</f>
        <v>4543.6142001114831</v>
      </c>
      <c r="L23">
        <f t="shared" ref="L23" si="52">L22/L21</f>
        <v>4717.735611891816</v>
      </c>
      <c r="M23">
        <f t="shared" ref="M23" si="53">M22/M21</f>
        <v>4814.7816775302626</v>
      </c>
      <c r="O23">
        <f t="shared" ref="O23" si="54">O22/O21</f>
        <v>5271.5739118244901</v>
      </c>
      <c r="P23">
        <f t="shared" ref="P23" si="55">P22/P21</f>
        <v>5304.4598488593829</v>
      </c>
    </row>
    <row r="24" spans="1:22" x14ac:dyDescent="0.3">
      <c r="A24" s="4" t="s">
        <v>10</v>
      </c>
      <c r="B24" s="2" t="s">
        <v>2</v>
      </c>
      <c r="C24">
        <f>D8</f>
        <v>1178.5260000000001</v>
      </c>
      <c r="D24">
        <f>F8</f>
        <v>890.06020000000001</v>
      </c>
      <c r="F24">
        <f>H8</f>
        <v>1211.7537</v>
      </c>
      <c r="G24">
        <f>J8</f>
        <v>912.00649999999996</v>
      </c>
      <c r="I24">
        <f>L8</f>
        <v>1112.0155999999999</v>
      </c>
      <c r="J24">
        <f>N8</f>
        <v>858.79110000000003</v>
      </c>
      <c r="L24">
        <f>P8</f>
        <v>1081.1893</v>
      </c>
      <c r="M24">
        <f>R8</f>
        <v>858.18349999999998</v>
      </c>
      <c r="O24">
        <v>1111.0091</v>
      </c>
      <c r="P24">
        <f>V8</f>
        <v>861.61189999999999</v>
      </c>
    </row>
    <row r="25" spans="1:22" x14ac:dyDescent="0.3">
      <c r="A25" s="4"/>
      <c r="B25" s="2" t="s">
        <v>3</v>
      </c>
      <c r="C25">
        <f>D9</f>
        <v>571.42859999999996</v>
      </c>
      <c r="D25">
        <f>F9</f>
        <v>549.90380000000005</v>
      </c>
      <c r="F25">
        <f>H9</f>
        <v>34320.954299999998</v>
      </c>
      <c r="G25">
        <f>J9</f>
        <v>34042.552900000002</v>
      </c>
      <c r="I25">
        <f>L9</f>
        <v>225986.2052</v>
      </c>
      <c r="J25">
        <f>N9</f>
        <v>235402.29790000001</v>
      </c>
      <c r="L25">
        <f>P9</f>
        <v>830621.04920000001</v>
      </c>
      <c r="M25">
        <f>R9</f>
        <v>1096378.0903</v>
      </c>
      <c r="O25">
        <f>T9</f>
        <v>356004.61940000003</v>
      </c>
      <c r="P25">
        <f>V9</f>
        <v>483326.11969999998</v>
      </c>
    </row>
    <row r="26" spans="1:22" x14ac:dyDescent="0.3">
      <c r="A26" s="4"/>
      <c r="B26" s="2" t="s">
        <v>4</v>
      </c>
      <c r="C26">
        <f>C25/C24</f>
        <v>0.48486719851747007</v>
      </c>
      <c r="D26">
        <f>D25/D24</f>
        <v>0.61782764806245694</v>
      </c>
      <c r="F26">
        <f t="shared" ref="F26" si="56">F25/F24</f>
        <v>28.323374873953345</v>
      </c>
      <c r="G26">
        <f t="shared" ref="G26" si="57">G25/G24</f>
        <v>37.32709459855824</v>
      </c>
      <c r="I26">
        <f t="shared" ref="I26" si="58">I25/I24</f>
        <v>203.22215371798742</v>
      </c>
      <c r="J26">
        <f t="shared" ref="J26" si="59">J25/J24</f>
        <v>274.10891647572964</v>
      </c>
      <c r="L26">
        <f t="shared" ref="L26" si="60">L25/L24</f>
        <v>768.24756700792364</v>
      </c>
      <c r="M26">
        <f t="shared" ref="M26" si="61">M25/M24</f>
        <v>1277.5567117055969</v>
      </c>
      <c r="O26">
        <f>T10</f>
        <v>320.43357646665544</v>
      </c>
      <c r="P26">
        <f t="shared" ref="P26" si="62">P25/P24</f>
        <v>560.95571532844428</v>
      </c>
    </row>
    <row r="27" spans="1:22" x14ac:dyDescent="0.3">
      <c r="A27" s="4" t="s">
        <v>11</v>
      </c>
      <c r="B27" s="2" t="s">
        <v>2</v>
      </c>
      <c r="C27">
        <f>D11</f>
        <v>23.9206</v>
      </c>
      <c r="D27">
        <f>F11</f>
        <v>15.0428</v>
      </c>
      <c r="F27">
        <f>H11</f>
        <v>23.7059</v>
      </c>
      <c r="G27">
        <f>J11</f>
        <v>14.9077</v>
      </c>
      <c r="I27">
        <f>L11</f>
        <v>23.375900000000001</v>
      </c>
      <c r="J27">
        <f>N11</f>
        <v>14.9817</v>
      </c>
      <c r="L27">
        <f>P11</f>
        <v>23.613700000000001</v>
      </c>
      <c r="M27">
        <f>R11</f>
        <v>14.8847</v>
      </c>
      <c r="O27">
        <f>T11</f>
        <v>23.6295</v>
      </c>
      <c r="P27">
        <f>V11</f>
        <v>14.9041</v>
      </c>
    </row>
    <row r="28" spans="1:22" x14ac:dyDescent="0.3">
      <c r="A28" s="4"/>
      <c r="B28" s="2" t="s">
        <v>3</v>
      </c>
      <c r="C28">
        <f>D12</f>
        <v>88.514700000000005</v>
      </c>
      <c r="D28">
        <f>F12</f>
        <v>90.995900000000006</v>
      </c>
      <c r="F28">
        <f>H12</f>
        <v>3257.4947000000002</v>
      </c>
      <c r="G28">
        <f>J12</f>
        <v>3476.3243000000002</v>
      </c>
      <c r="I28">
        <f>L12</f>
        <v>26222.791499999999</v>
      </c>
      <c r="J28">
        <f>N12</f>
        <v>27997.264899999998</v>
      </c>
      <c r="L28">
        <f>P12</f>
        <v>32483.7667</v>
      </c>
      <c r="M28">
        <f>R12</f>
        <v>35223.520400000001</v>
      </c>
      <c r="O28">
        <f>T12</f>
        <v>32664.190200000001</v>
      </c>
      <c r="P28">
        <f>V12</f>
        <v>35432.286500000002</v>
      </c>
    </row>
    <row r="29" spans="1:22" x14ac:dyDescent="0.3">
      <c r="A29" s="4"/>
      <c r="B29" s="2" t="s">
        <v>4</v>
      </c>
      <c r="C29">
        <f>C28/C27</f>
        <v>3.7003545061578724</v>
      </c>
      <c r="D29">
        <f>D28/D27</f>
        <v>6.0491331401068953</v>
      </c>
      <c r="F29">
        <f t="shared" ref="F29" si="63">F28/F27</f>
        <v>137.41282549913734</v>
      </c>
      <c r="G29">
        <f t="shared" ref="G29" si="64">G28/G27</f>
        <v>233.18984819925274</v>
      </c>
      <c r="I29">
        <f t="shared" ref="I29" si="65">I28/I27</f>
        <v>1121.7874605897525</v>
      </c>
      <c r="J29">
        <f t="shared" ref="J29" si="66">J28/J27</f>
        <v>1868.7642190138636</v>
      </c>
      <c r="L29">
        <f t="shared" ref="L29" si="67">L28/L27</f>
        <v>1375.6322262076676</v>
      </c>
      <c r="M29">
        <f t="shared" ref="M29" si="68">M28/M27</f>
        <v>2366.4246105060902</v>
      </c>
      <c r="O29">
        <f t="shared" ref="O29" si="69">O28/O27</f>
        <v>1382.3479210309147</v>
      </c>
      <c r="P29">
        <f t="shared" ref="P29" si="70">P28/P27</f>
        <v>2377.3516347850591</v>
      </c>
    </row>
  </sheetData>
  <mergeCells count="28">
    <mergeCell ref="C18:P18"/>
    <mergeCell ref="C19:D19"/>
    <mergeCell ref="F19:G19"/>
    <mergeCell ref="I19:J19"/>
    <mergeCell ref="L19:M19"/>
    <mergeCell ref="O19:P19"/>
    <mergeCell ref="A21:A23"/>
    <mergeCell ref="A24:A26"/>
    <mergeCell ref="A27:A29"/>
    <mergeCell ref="S2:V2"/>
    <mergeCell ref="S3:T3"/>
    <mergeCell ref="U3:V3"/>
    <mergeCell ref="A5:A7"/>
    <mergeCell ref="A8:A10"/>
    <mergeCell ref="A11:A13"/>
    <mergeCell ref="K2:N2"/>
    <mergeCell ref="K3:L3"/>
    <mergeCell ref="M3:N3"/>
    <mergeCell ref="O2:R2"/>
    <mergeCell ref="O3:P3"/>
    <mergeCell ref="Q3:R3"/>
    <mergeCell ref="C2:F2"/>
    <mergeCell ref="C3:D3"/>
    <mergeCell ref="E3:F3"/>
    <mergeCell ref="G2:J2"/>
    <mergeCell ref="G3:H3"/>
    <mergeCell ref="I3:J3"/>
    <mergeCell ref="C1:V1"/>
  </mergeCells>
  <pageMargins left="0.7" right="0.7" top="0.75" bottom="0.75" header="0.3" footer="0.3"/>
  <pageSetup scale="4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2026-06-03T00:11:25Z</dcterms:created>
  <dcterms:modified xsi:type="dcterms:W3CDTF">2026-06-03T06:28:21Z</dcterms:modified>
</cp:coreProperties>
</file>