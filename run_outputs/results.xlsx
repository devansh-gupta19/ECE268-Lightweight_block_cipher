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CSD\Quarter3\ECE268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4" i="1" l="1"/>
  <c r="O34" i="1"/>
  <c r="M34" i="1"/>
  <c r="L34" i="1"/>
  <c r="J34" i="1"/>
  <c r="I34" i="1"/>
  <c r="G34" i="1"/>
  <c r="F34" i="1"/>
  <c r="D34" i="1"/>
  <c r="C34" i="1"/>
  <c r="P30" i="1"/>
  <c r="O30" i="1"/>
  <c r="M30" i="1"/>
  <c r="L30" i="1"/>
  <c r="J30" i="1"/>
  <c r="I30" i="1"/>
  <c r="G30" i="1"/>
  <c r="F30" i="1"/>
  <c r="D30" i="1"/>
  <c r="C30" i="1"/>
  <c r="P26" i="1"/>
  <c r="O26" i="1"/>
  <c r="M26" i="1"/>
  <c r="L26" i="1"/>
  <c r="J26" i="1"/>
  <c r="I26" i="1"/>
  <c r="G26" i="1"/>
  <c r="F26" i="1"/>
  <c r="D26" i="1"/>
  <c r="C26" i="1"/>
  <c r="C33" i="1" l="1"/>
  <c r="C32" i="1"/>
  <c r="D33" i="1"/>
  <c r="D32" i="1"/>
  <c r="F33" i="1"/>
  <c r="F32" i="1"/>
  <c r="G33" i="1"/>
  <c r="G35" i="1" s="1"/>
  <c r="G32" i="1"/>
  <c r="I33" i="1"/>
  <c r="I32" i="1"/>
  <c r="J33" i="1"/>
  <c r="J32" i="1"/>
  <c r="L33" i="1"/>
  <c r="L32" i="1"/>
  <c r="M33" i="1"/>
  <c r="M35" i="1" s="1"/>
  <c r="M32" i="1"/>
  <c r="O33" i="1"/>
  <c r="O32" i="1"/>
  <c r="P33" i="1"/>
  <c r="P32" i="1"/>
  <c r="P29" i="1"/>
  <c r="P28" i="1"/>
  <c r="O29" i="1"/>
  <c r="M28" i="1"/>
  <c r="M29" i="1"/>
  <c r="L29" i="1"/>
  <c r="L28" i="1"/>
  <c r="J29" i="1"/>
  <c r="J28" i="1"/>
  <c r="I29" i="1"/>
  <c r="I28" i="1"/>
  <c r="G28" i="1"/>
  <c r="G29" i="1"/>
  <c r="F29" i="1"/>
  <c r="F28" i="1"/>
  <c r="C29" i="1"/>
  <c r="D29" i="1"/>
  <c r="D28" i="1"/>
  <c r="C28" i="1"/>
  <c r="P25" i="1"/>
  <c r="O25" i="1"/>
  <c r="M25" i="1"/>
  <c r="L25" i="1"/>
  <c r="J25" i="1"/>
  <c r="I25" i="1"/>
  <c r="G25" i="1"/>
  <c r="F25" i="1"/>
  <c r="D25" i="1"/>
  <c r="D24" i="1"/>
  <c r="C25" i="1"/>
  <c r="P24" i="1"/>
  <c r="O24" i="1"/>
  <c r="M24" i="1"/>
  <c r="L24" i="1"/>
  <c r="J24" i="1"/>
  <c r="I24" i="1"/>
  <c r="I27" i="1" s="1"/>
  <c r="G24" i="1"/>
  <c r="F24" i="1"/>
  <c r="C24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F16" i="1"/>
  <c r="E16" i="1"/>
  <c r="D16" i="1"/>
  <c r="C16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O31" i="1" s="1"/>
  <c r="U12" i="1"/>
  <c r="V12" i="1"/>
  <c r="F12" i="1"/>
  <c r="E12" i="1"/>
  <c r="D12" i="1"/>
  <c r="C12" i="1"/>
  <c r="G8" i="1"/>
  <c r="H8" i="1"/>
  <c r="I8" i="1"/>
  <c r="K8" i="1"/>
  <c r="L8" i="1"/>
  <c r="M8" i="1"/>
  <c r="N8" i="1"/>
  <c r="O8" i="1"/>
  <c r="P8" i="1"/>
  <c r="Q8" i="1"/>
  <c r="R8" i="1"/>
  <c r="S8" i="1"/>
  <c r="T8" i="1"/>
  <c r="U8" i="1"/>
  <c r="V8" i="1"/>
  <c r="F8" i="1"/>
  <c r="E8" i="1"/>
  <c r="D8" i="1"/>
  <c r="C8" i="1"/>
  <c r="J8" i="1"/>
  <c r="P35" i="1" l="1"/>
  <c r="J35" i="1"/>
  <c r="D35" i="1"/>
  <c r="O35" i="1"/>
  <c r="I35" i="1"/>
  <c r="C35" i="1"/>
  <c r="L35" i="1"/>
  <c r="F35" i="1"/>
  <c r="O27" i="1"/>
  <c r="P27" i="1"/>
  <c r="G31" i="1"/>
  <c r="I31" i="1"/>
  <c r="L31" i="1"/>
  <c r="P31" i="1"/>
  <c r="M31" i="1"/>
  <c r="J31" i="1"/>
  <c r="F31" i="1"/>
  <c r="C31" i="1"/>
  <c r="D31" i="1"/>
  <c r="M27" i="1"/>
  <c r="L27" i="1"/>
  <c r="J27" i="1"/>
  <c r="G27" i="1"/>
  <c r="F27" i="1"/>
  <c r="D27" i="1"/>
  <c r="C27" i="1"/>
</calcChain>
</file>

<file path=xl/sharedStrings.xml><?xml version="1.0" encoding="utf-8"?>
<sst xmlns="http://schemas.openxmlformats.org/spreadsheetml/2006/main" count="84" uniqueCount="19">
  <si>
    <t>Cipher</t>
  </si>
  <si>
    <t>Plaintext Size</t>
  </si>
  <si>
    <t>CPU</t>
  </si>
  <si>
    <t>Speedup</t>
  </si>
  <si>
    <t>PRESENT-80</t>
  </si>
  <si>
    <t>1 KB</t>
  </si>
  <si>
    <t>Encryption</t>
  </si>
  <si>
    <t>Throughput (MB/s)</t>
  </si>
  <si>
    <t>Decryption</t>
  </si>
  <si>
    <t>SPECK-64</t>
  </si>
  <si>
    <t>AES-128</t>
  </si>
  <si>
    <t>64 KB</t>
  </si>
  <si>
    <t>16 MB</t>
  </si>
  <si>
    <t>64 MB</t>
  </si>
  <si>
    <t>Time (ms)</t>
  </si>
  <si>
    <t>1 MB</t>
  </si>
  <si>
    <t>Thoughput (MB/s)</t>
  </si>
  <si>
    <t>GPU_ECB</t>
  </si>
  <si>
    <t>GPU_CTR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</si>
</sst>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5"/>
  <sheetViews>
    <sheetView tabSelected="1" topLeftCell="A10" workbookViewId="0">
      <selection activeCell="R28" sqref="R28"/>
    </sheetView>
  </sheetViews>
  <sheetFormatPr defaultRowHeight="14.4" x14ac:dyDescent="0.3"/>
  <cols>
    <col min="1" max="1" width="11" bestFit="1" customWidth="1"/>
  </cols>
  <sheetData>
    <row r="1" spans="1:22" x14ac:dyDescent="0.3">
      <c r="A1" s="1" t="s">
        <v>0</v>
      </c>
      <c r="B1" s="2"/>
      <c r="C1" s="5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x14ac:dyDescent="0.3">
      <c r="A2" s="2"/>
      <c r="B2" s="2"/>
      <c r="C2" s="5" t="s">
        <v>5</v>
      </c>
      <c r="D2" s="5"/>
      <c r="E2" s="5"/>
      <c r="F2" s="5"/>
      <c r="G2" s="5" t="s">
        <v>11</v>
      </c>
      <c r="H2" s="5"/>
      <c r="I2" s="5"/>
      <c r="J2" s="5"/>
      <c r="K2" s="5" t="s">
        <v>15</v>
      </c>
      <c r="L2" s="5"/>
      <c r="M2" s="5"/>
      <c r="N2" s="5"/>
      <c r="O2" s="5" t="s">
        <v>12</v>
      </c>
      <c r="P2" s="5"/>
      <c r="Q2" s="5"/>
      <c r="R2" s="5"/>
      <c r="S2" s="5" t="s">
        <v>13</v>
      </c>
      <c r="T2" s="5"/>
      <c r="U2" s="5"/>
      <c r="V2" s="5"/>
    </row>
    <row r="3" spans="1:22" x14ac:dyDescent="0.3">
      <c r="A3" s="2"/>
      <c r="B3" s="2"/>
      <c r="C3" s="5" t="s">
        <v>6</v>
      </c>
      <c r="D3" s="5"/>
      <c r="E3" s="5" t="s">
        <v>8</v>
      </c>
      <c r="F3" s="5"/>
      <c r="G3" s="5" t="s">
        <v>6</v>
      </c>
      <c r="H3" s="5"/>
      <c r="I3" s="5" t="s">
        <v>8</v>
      </c>
      <c r="J3" s="5"/>
      <c r="K3" s="5" t="s">
        <v>6</v>
      </c>
      <c r="L3" s="5"/>
      <c r="M3" s="5" t="s">
        <v>8</v>
      </c>
      <c r="N3" s="5"/>
      <c r="O3" s="5" t="s">
        <v>6</v>
      </c>
      <c r="P3" s="5"/>
      <c r="Q3" s="5" t="s">
        <v>8</v>
      </c>
      <c r="R3" s="5"/>
      <c r="S3" s="5" t="s">
        <v>6</v>
      </c>
      <c r="T3" s="5"/>
      <c r="U3" s="5" t="s">
        <v>8</v>
      </c>
      <c r="V3" s="5"/>
    </row>
    <row r="4" spans="1:22" x14ac:dyDescent="0.3">
      <c r="A4" s="2"/>
      <c r="B4" s="2"/>
      <c r="C4" s="2" t="s">
        <v>14</v>
      </c>
      <c r="D4" s="2" t="s">
        <v>7</v>
      </c>
      <c r="E4" s="2" t="s">
        <v>14</v>
      </c>
      <c r="F4" s="2" t="s">
        <v>7</v>
      </c>
      <c r="G4" s="2" t="s">
        <v>14</v>
      </c>
      <c r="H4" s="2" t="s">
        <v>7</v>
      </c>
      <c r="I4" s="2" t="s">
        <v>14</v>
      </c>
      <c r="J4" s="2" t="s">
        <v>7</v>
      </c>
      <c r="K4" s="2" t="s">
        <v>14</v>
      </c>
      <c r="L4" s="2" t="s">
        <v>7</v>
      </c>
      <c r="M4" s="2" t="s">
        <v>14</v>
      </c>
      <c r="N4" s="2" t="s">
        <v>7</v>
      </c>
      <c r="O4" s="2" t="s">
        <v>14</v>
      </c>
      <c r="P4" s="2" t="s">
        <v>7</v>
      </c>
      <c r="Q4" s="2" t="s">
        <v>14</v>
      </c>
      <c r="R4" s="2" t="s">
        <v>7</v>
      </c>
      <c r="S4" s="2" t="s">
        <v>14</v>
      </c>
      <c r="T4" s="2" t="s">
        <v>7</v>
      </c>
      <c r="U4" s="2" t="s">
        <v>14</v>
      </c>
      <c r="V4" s="2" t="s">
        <v>7</v>
      </c>
    </row>
    <row r="5" spans="1:22" x14ac:dyDescent="0.3">
      <c r="A5" s="6" t="s">
        <v>4</v>
      </c>
      <c r="B5" s="2" t="s">
        <v>2</v>
      </c>
      <c r="C5">
        <v>0.69430000000000003</v>
      </c>
      <c r="D5">
        <v>1.4746999999999999</v>
      </c>
      <c r="E5">
        <v>0.69850000000000001</v>
      </c>
      <c r="F5">
        <v>1.466</v>
      </c>
      <c r="G5">
        <v>45.254300000000001</v>
      </c>
      <c r="H5">
        <v>1.4481999999999999</v>
      </c>
      <c r="I5">
        <v>45.820799999999998</v>
      </c>
      <c r="J5">
        <v>1.4302999999999999</v>
      </c>
      <c r="K5">
        <v>721.74509999999998</v>
      </c>
      <c r="L5">
        <v>1.4528000000000001</v>
      </c>
      <c r="M5">
        <v>730.62950000000001</v>
      </c>
      <c r="N5">
        <v>1.4352</v>
      </c>
      <c r="O5">
        <v>11847.734700000001</v>
      </c>
      <c r="P5">
        <v>1.4160999999999999</v>
      </c>
      <c r="Q5">
        <v>12017.543100000001</v>
      </c>
      <c r="R5">
        <v>1.3960999999999999</v>
      </c>
      <c r="S5">
        <v>47038.959499999997</v>
      </c>
      <c r="T5">
        <v>1.4267000000000001</v>
      </c>
      <c r="U5">
        <v>529.2559</v>
      </c>
      <c r="V5">
        <v>1.4158999999999999</v>
      </c>
    </row>
    <row r="6" spans="1:22" x14ac:dyDescent="0.3">
      <c r="A6" s="6"/>
      <c r="B6" s="2" t="s">
        <v>17</v>
      </c>
      <c r="C6">
        <v>2.3300000000000001E-2</v>
      </c>
      <c r="D6">
        <v>43.904699999999998</v>
      </c>
      <c r="E6">
        <v>2.3400000000000001E-2</v>
      </c>
      <c r="F6">
        <v>43.709499999999998</v>
      </c>
      <c r="G6">
        <v>4.2099999999999999E-2</v>
      </c>
      <c r="H6">
        <v>1555.9047</v>
      </c>
      <c r="I6">
        <v>4.1500000000000002E-2</v>
      </c>
      <c r="J6">
        <v>1579.9494999999999</v>
      </c>
      <c r="K6">
        <v>0.16300000000000001</v>
      </c>
      <c r="L6">
        <v>6434.4342999999999</v>
      </c>
      <c r="M6" s="3">
        <v>0.1608</v>
      </c>
      <c r="N6">
        <v>6520.9951000000001</v>
      </c>
      <c r="O6">
        <v>2.5112999999999999</v>
      </c>
      <c r="P6">
        <v>6680.7853999999998</v>
      </c>
      <c r="Q6">
        <v>2.4958999999999998</v>
      </c>
      <c r="R6">
        <v>6721.9166999999998</v>
      </c>
      <c r="S6">
        <v>8.9229000000000003</v>
      </c>
      <c r="T6">
        <v>7520.9544999999998</v>
      </c>
      <c r="U6">
        <v>8.9352</v>
      </c>
      <c r="V6">
        <v>7510.5847000000003</v>
      </c>
    </row>
    <row r="7" spans="1:22" x14ac:dyDescent="0.3">
      <c r="A7" s="6"/>
      <c r="B7" s="2" t="s">
        <v>18</v>
      </c>
      <c r="C7">
        <v>2.3400000000000001E-2</v>
      </c>
      <c r="D7">
        <v>43.7316</v>
      </c>
      <c r="E7">
        <v>2.3400000000000001E-2</v>
      </c>
      <c r="F7">
        <v>43.748800000000003</v>
      </c>
      <c r="G7">
        <v>4.19E-2</v>
      </c>
      <c r="H7">
        <v>1562.4690000000001</v>
      </c>
      <c r="I7">
        <v>4.19E-2</v>
      </c>
      <c r="J7">
        <v>1562.376</v>
      </c>
      <c r="K7">
        <v>0.16</v>
      </c>
      <c r="L7">
        <v>6554.6489000000001</v>
      </c>
      <c r="M7" s="3">
        <v>0.1603</v>
      </c>
      <c r="N7">
        <v>6540.5190000000002</v>
      </c>
      <c r="O7">
        <v>2.2501000000000002</v>
      </c>
      <c r="P7">
        <v>7456.3600999999999</v>
      </c>
      <c r="Q7">
        <v>2.2496999999999998</v>
      </c>
      <c r="R7">
        <v>7457.5905000000002</v>
      </c>
      <c r="S7">
        <v>8.9425000000000008</v>
      </c>
      <c r="T7">
        <v>7540.5213999999996</v>
      </c>
      <c r="U7">
        <v>8.9422999999999995</v>
      </c>
      <c r="V7">
        <v>7504.6233000000002</v>
      </c>
    </row>
    <row r="8" spans="1:22" x14ac:dyDescent="0.3">
      <c r="A8" s="6"/>
      <c r="B8" s="2" t="s">
        <v>3</v>
      </c>
      <c r="C8">
        <f>C5/C6</f>
        <v>29.798283261802574</v>
      </c>
      <c r="D8">
        <f>D6/D5</f>
        <v>29.771953617684954</v>
      </c>
      <c r="E8">
        <f>E5/E6</f>
        <v>29.850427350427349</v>
      </c>
      <c r="F8">
        <f>F6/F5</f>
        <v>29.815484311050476</v>
      </c>
      <c r="G8">
        <f t="shared" ref="G8" si="0">G5/G6</f>
        <v>1074.9239904988124</v>
      </c>
      <c r="H8">
        <f t="shared" ref="H8" si="1">H6/H5</f>
        <v>1074.3714265985361</v>
      </c>
      <c r="I8">
        <f t="shared" ref="I8" si="2">I5/I6</f>
        <v>1104.1156626506024</v>
      </c>
      <c r="J8">
        <f t="shared" ref="J8" si="3">J6/J5</f>
        <v>1104.6280500594282</v>
      </c>
      <c r="K8">
        <f t="shared" ref="K8" si="4">K5/K6</f>
        <v>4427.8840490797547</v>
      </c>
      <c r="L8">
        <f t="shared" ref="L8" si="5">L6/L5</f>
        <v>4428.9883672907481</v>
      </c>
      <c r="M8">
        <f t="shared" ref="M8" si="6">M5/M6</f>
        <v>4543.7157960199002</v>
      </c>
      <c r="N8">
        <f t="shared" ref="N8" si="7">N6/N5</f>
        <v>4543.6142001114831</v>
      </c>
      <c r="O8">
        <f t="shared" ref="O8" si="8">O5/O6</f>
        <v>4717.7695615816519</v>
      </c>
      <c r="P8">
        <f t="shared" ref="P8" si="9">P6/P5</f>
        <v>4717.735611891816</v>
      </c>
      <c r="Q8">
        <f t="shared" ref="Q8" si="10">Q5/Q6</f>
        <v>4814.9136984654842</v>
      </c>
      <c r="R8">
        <f t="shared" ref="R8" si="11">R6/R5</f>
        <v>4814.7816775302626</v>
      </c>
      <c r="S8">
        <f t="shared" ref="S8" si="12">S5/S6</f>
        <v>5271.7120554976518</v>
      </c>
      <c r="T8">
        <f t="shared" ref="T8" si="13">T6/T5</f>
        <v>5271.5739118244901</v>
      </c>
      <c r="U8">
        <f t="shared" ref="U8" si="14">U5/U6</f>
        <v>59.232686453576861</v>
      </c>
      <c r="V8">
        <f t="shared" ref="V8" si="15">V6/V5</f>
        <v>5304.4598488593829</v>
      </c>
    </row>
    <row r="9" spans="1:22" x14ac:dyDescent="0.3">
      <c r="A9" s="6" t="s">
        <v>9</v>
      </c>
      <c r="B9" s="2" t="s">
        <v>2</v>
      </c>
      <c r="C9">
        <v>8.9999999999999998E-4</v>
      </c>
      <c r="D9">
        <v>1178.5260000000001</v>
      </c>
      <c r="E9">
        <v>1.1999999999999999E-3</v>
      </c>
      <c r="F9">
        <v>890.06020000000001</v>
      </c>
      <c r="G9">
        <v>5.4100000000000002E-2</v>
      </c>
      <c r="H9">
        <v>1211.7537</v>
      </c>
      <c r="I9">
        <v>7.1900000000000006E-2</v>
      </c>
      <c r="J9">
        <v>912.00649999999996</v>
      </c>
      <c r="K9">
        <v>0.94299999999999995</v>
      </c>
      <c r="L9">
        <v>1112.0155999999999</v>
      </c>
      <c r="M9">
        <v>1.2210000000000001</v>
      </c>
      <c r="N9">
        <v>858.79110000000003</v>
      </c>
      <c r="O9">
        <v>15.5174</v>
      </c>
      <c r="P9">
        <v>1081.1893</v>
      </c>
      <c r="Q9">
        <v>19.549700000000001</v>
      </c>
      <c r="R9">
        <v>858.18349999999998</v>
      </c>
      <c r="S9">
        <v>60.403500000000001</v>
      </c>
      <c r="T9">
        <v>1111.0091</v>
      </c>
      <c r="U9">
        <v>77.887600000000006</v>
      </c>
      <c r="V9">
        <v>861.61189999999999</v>
      </c>
    </row>
    <row r="10" spans="1:22" x14ac:dyDescent="0.3">
      <c r="A10" s="6"/>
      <c r="B10" s="2" t="s">
        <v>17</v>
      </c>
      <c r="C10">
        <v>1.8E-3</v>
      </c>
      <c r="D10">
        <v>571.42859999999996</v>
      </c>
      <c r="E10">
        <v>1.9E-3</v>
      </c>
      <c r="F10">
        <v>549.90380000000005</v>
      </c>
      <c r="G10">
        <v>1.9E-3</v>
      </c>
      <c r="H10">
        <v>34320.954299999998</v>
      </c>
      <c r="I10">
        <v>1.9E-3</v>
      </c>
      <c r="J10">
        <v>34042.552900000002</v>
      </c>
      <c r="K10">
        <v>4.5999999999999999E-3</v>
      </c>
      <c r="L10">
        <v>225986.2052</v>
      </c>
      <c r="M10">
        <v>4.4999999999999997E-3</v>
      </c>
      <c r="N10">
        <v>235402.29790000001</v>
      </c>
      <c r="O10">
        <v>2.0199999999999999E-2</v>
      </c>
      <c r="P10">
        <v>830621.04920000001</v>
      </c>
      <c r="Q10">
        <v>1.5299999999999999E-2</v>
      </c>
      <c r="R10">
        <v>1096378.0903</v>
      </c>
      <c r="S10">
        <v>0.1885</v>
      </c>
      <c r="T10">
        <v>356004.61940000003</v>
      </c>
      <c r="U10">
        <v>0.13880000000000001</v>
      </c>
      <c r="V10">
        <v>483326.11969999998</v>
      </c>
    </row>
    <row r="11" spans="1:22" x14ac:dyDescent="0.3">
      <c r="A11" s="6"/>
      <c r="B11" s="2" t="s">
        <v>18</v>
      </c>
      <c r="C11">
        <v>1.6999999999999999E-3</v>
      </c>
      <c r="D11">
        <v>603.25</v>
      </c>
      <c r="E11">
        <v>1.6999999999999999E-3</v>
      </c>
      <c r="F11">
        <v>599.5204</v>
      </c>
      <c r="G11">
        <v>1.9E-3</v>
      </c>
      <c r="H11">
        <v>35210.784099999997</v>
      </c>
      <c r="I11">
        <v>1.8E-3</v>
      </c>
      <c r="J11">
        <v>36734.108800000002</v>
      </c>
      <c r="K11">
        <v>4.7000000000000002E-3</v>
      </c>
      <c r="L11">
        <v>221106.60949999999</v>
      </c>
      <c r="M11">
        <v>4.3E-3</v>
      </c>
      <c r="N11">
        <v>246375.94</v>
      </c>
      <c r="O11">
        <v>2.06E-2</v>
      </c>
      <c r="P11">
        <v>815631.61250000005</v>
      </c>
      <c r="Q11">
        <v>1.5800000000000002E-2</v>
      </c>
      <c r="R11">
        <v>1065193.0251</v>
      </c>
      <c r="S11">
        <v>0.187</v>
      </c>
      <c r="T11">
        <v>358966.13630000001</v>
      </c>
      <c r="U11">
        <v>0.13980000000000001</v>
      </c>
      <c r="V11">
        <v>479875.52250000002</v>
      </c>
    </row>
    <row r="12" spans="1:22" x14ac:dyDescent="0.3">
      <c r="A12" s="6"/>
      <c r="B12" s="2" t="s">
        <v>3</v>
      </c>
      <c r="C12">
        <f>C9/C10</f>
        <v>0.5</v>
      </c>
      <c r="D12">
        <f>D10/D9</f>
        <v>0.48486719851747007</v>
      </c>
      <c r="E12">
        <f>E9/E10</f>
        <v>0.63157894736842102</v>
      </c>
      <c r="F12">
        <f>F10/F9</f>
        <v>0.61782764806245694</v>
      </c>
      <c r="G12">
        <f t="shared" ref="G12" si="16">G9/G10</f>
        <v>28.473684210526319</v>
      </c>
      <c r="H12">
        <f t="shared" ref="H12" si="17">H10/H9</f>
        <v>28.323374873953345</v>
      </c>
      <c r="I12">
        <f t="shared" ref="I12" si="18">I9/I10</f>
        <v>37.842105263157897</v>
      </c>
      <c r="J12">
        <f t="shared" ref="J12" si="19">J10/J9</f>
        <v>37.32709459855824</v>
      </c>
      <c r="K12">
        <f t="shared" ref="K12" si="20">K9/K10</f>
        <v>205</v>
      </c>
      <c r="L12">
        <f t="shared" ref="L12" si="21">L10/L9</f>
        <v>203.22215371798742</v>
      </c>
      <c r="M12">
        <f t="shared" ref="M12" si="22">M9/M10</f>
        <v>271.33333333333337</v>
      </c>
      <c r="N12">
        <f t="shared" ref="N12" si="23">N10/N9</f>
        <v>274.10891647572964</v>
      </c>
      <c r="O12">
        <f t="shared" ref="O12" si="24">O9/O10</f>
        <v>768.18811881188128</v>
      </c>
      <c r="P12">
        <f t="shared" ref="P12" si="25">P10/P9</f>
        <v>768.24756700792364</v>
      </c>
      <c r="Q12">
        <f t="shared" ref="Q12" si="26">Q9/Q10</f>
        <v>1277.7581699346406</v>
      </c>
      <c r="R12">
        <f t="shared" ref="R12" si="27">R10/R9</f>
        <v>1277.5567117055969</v>
      </c>
      <c r="S12">
        <f t="shared" ref="S12" si="28">S9/S10</f>
        <v>320.44297082228115</v>
      </c>
      <c r="T12">
        <f t="shared" ref="T12" si="29">T10/T9</f>
        <v>320.43357646665544</v>
      </c>
      <c r="U12">
        <f t="shared" ref="U12" si="30">U9/U10</f>
        <v>561.14985590778099</v>
      </c>
      <c r="V12">
        <f t="shared" ref="V12" si="31">V10/V9</f>
        <v>560.95571532844428</v>
      </c>
    </row>
    <row r="13" spans="1:22" x14ac:dyDescent="0.3">
      <c r="A13" s="6" t="s">
        <v>10</v>
      </c>
      <c r="B13" s="2" t="s">
        <v>2</v>
      </c>
      <c r="C13">
        <v>4.2799999999999998E-2</v>
      </c>
      <c r="D13">
        <v>23.9206</v>
      </c>
      <c r="E13">
        <v>6.8099999999999994E-2</v>
      </c>
      <c r="F13">
        <v>15.0428</v>
      </c>
      <c r="G13">
        <v>2.7645</v>
      </c>
      <c r="H13">
        <v>23.7059</v>
      </c>
      <c r="I13">
        <v>4.3960999999999997</v>
      </c>
      <c r="J13">
        <v>14.9077</v>
      </c>
      <c r="K13">
        <v>44.857100000000003</v>
      </c>
      <c r="L13">
        <v>23.375900000000001</v>
      </c>
      <c r="M13">
        <v>69.989999999999995</v>
      </c>
      <c r="N13">
        <v>14.9817</v>
      </c>
      <c r="O13">
        <v>710.48760000000004</v>
      </c>
      <c r="P13">
        <v>23.613700000000001</v>
      </c>
      <c r="Q13">
        <v>1127.1425999999999</v>
      </c>
      <c r="R13">
        <v>14.8847</v>
      </c>
      <c r="S13">
        <v>2840.0414999999998</v>
      </c>
      <c r="T13">
        <v>23.6295</v>
      </c>
      <c r="U13">
        <v>4502.7228999999998</v>
      </c>
      <c r="V13">
        <v>14.9041</v>
      </c>
    </row>
    <row r="14" spans="1:22" x14ac:dyDescent="0.3">
      <c r="A14" s="6"/>
      <c r="B14" s="2" t="s">
        <v>17</v>
      </c>
      <c r="C14">
        <v>1.1599999999999999E-2</v>
      </c>
      <c r="D14">
        <v>88.514700000000005</v>
      </c>
      <c r="E14">
        <v>1.1299999999999999E-2</v>
      </c>
      <c r="F14">
        <v>90.995900000000006</v>
      </c>
      <c r="G14">
        <v>2.01E-2</v>
      </c>
      <c r="H14">
        <v>3257.4947000000002</v>
      </c>
      <c r="I14">
        <v>1.89E-2</v>
      </c>
      <c r="J14">
        <v>3476.3243000000002</v>
      </c>
      <c r="K14">
        <v>0.04</v>
      </c>
      <c r="L14">
        <v>26222.791499999999</v>
      </c>
      <c r="M14">
        <v>3.7499999999999999E-2</v>
      </c>
      <c r="N14">
        <v>27997.264899999998</v>
      </c>
      <c r="O14">
        <v>0.51649999999999996</v>
      </c>
      <c r="P14">
        <v>32483.7667</v>
      </c>
      <c r="Q14">
        <v>0.4763</v>
      </c>
      <c r="R14">
        <v>35223.520400000001</v>
      </c>
      <c r="S14">
        <v>2.0545</v>
      </c>
      <c r="T14">
        <v>32664.190200000001</v>
      </c>
      <c r="U14">
        <v>1.8939999999999999</v>
      </c>
      <c r="V14">
        <v>35432.286500000002</v>
      </c>
    </row>
    <row r="15" spans="1:22" x14ac:dyDescent="0.3">
      <c r="A15" s="6"/>
      <c r="B15" s="2" t="s">
        <v>18</v>
      </c>
      <c r="C15">
        <v>1.03E-2</v>
      </c>
      <c r="D15">
        <v>99.727599999999995</v>
      </c>
      <c r="E15">
        <v>1.04E-2</v>
      </c>
      <c r="F15">
        <v>98.6601</v>
      </c>
      <c r="G15">
        <v>2.9899999999999999E-2</v>
      </c>
      <c r="H15">
        <v>2191.6118999999999</v>
      </c>
      <c r="I15">
        <v>2.9899999999999999E-2</v>
      </c>
      <c r="J15">
        <v>2190.2806999999998</v>
      </c>
      <c r="K15">
        <v>5.96E-2</v>
      </c>
      <c r="L15">
        <v>17605.845499999999</v>
      </c>
      <c r="M15">
        <v>5.9400000000000001E-2</v>
      </c>
      <c r="N15">
        <v>17655.171999999999</v>
      </c>
      <c r="O15">
        <v>0.81620000000000004</v>
      </c>
      <c r="P15">
        <v>20554.832399999999</v>
      </c>
      <c r="Q15">
        <v>0.81540000000000001</v>
      </c>
      <c r="R15">
        <v>20576.4519</v>
      </c>
      <c r="S15">
        <v>3.2528999999999999</v>
      </c>
      <c r="T15">
        <v>20630.2546</v>
      </c>
      <c r="U15">
        <v>3.2515999999999998</v>
      </c>
      <c r="V15">
        <v>20638.781900000002</v>
      </c>
    </row>
    <row r="16" spans="1:22" x14ac:dyDescent="0.3">
      <c r="A16" s="6"/>
      <c r="B16" s="2" t="s">
        <v>3</v>
      </c>
      <c r="C16">
        <f>C13/C14</f>
        <v>3.6896551724137931</v>
      </c>
      <c r="D16">
        <f>D14/D13</f>
        <v>3.7003545061578724</v>
      </c>
      <c r="E16">
        <f>E13/E14</f>
        <v>6.0265486725663715</v>
      </c>
      <c r="F16">
        <f>F14/F13</f>
        <v>6.0491331401068953</v>
      </c>
      <c r="G16">
        <f t="shared" ref="G16" si="32">G13/G14</f>
        <v>137.53731343283582</v>
      </c>
      <c r="H16">
        <f t="shared" ref="H16" si="33">H14/H13</f>
        <v>137.41282549913734</v>
      </c>
      <c r="I16">
        <f t="shared" ref="I16" si="34">I13/I14</f>
        <v>232.59788359788357</v>
      </c>
      <c r="J16">
        <f t="shared" ref="J16" si="35">J14/J13</f>
        <v>233.18984819925274</v>
      </c>
      <c r="K16">
        <f t="shared" ref="K16" si="36">K13/K14</f>
        <v>1121.4275</v>
      </c>
      <c r="L16">
        <f t="shared" ref="L16" si="37">L14/L13</f>
        <v>1121.7874605897525</v>
      </c>
      <c r="M16">
        <f t="shared" ref="M16" si="38">M13/M14</f>
        <v>1866.3999999999999</v>
      </c>
      <c r="N16">
        <f t="shared" ref="N16" si="39">N14/N13</f>
        <v>1868.7642190138636</v>
      </c>
      <c r="O16">
        <f t="shared" ref="O16" si="40">O13/O14</f>
        <v>1375.5810261374638</v>
      </c>
      <c r="P16">
        <f t="shared" ref="P16" si="41">P14/P13</f>
        <v>1375.6322262076676</v>
      </c>
      <c r="Q16">
        <f t="shared" ref="Q16" si="42">Q13/Q14</f>
        <v>2366.4551753096785</v>
      </c>
      <c r="R16">
        <f t="shared" ref="R16" si="43">R14/R13</f>
        <v>2366.4246105060902</v>
      </c>
      <c r="S16">
        <f t="shared" ref="S16" si="44">S13/S14</f>
        <v>1382.3516670722802</v>
      </c>
      <c r="T16">
        <f t="shared" ref="T16" si="45">T14/T13</f>
        <v>1382.3479210309147</v>
      </c>
      <c r="U16">
        <f t="shared" ref="U16" si="46">U13/U14</f>
        <v>2377.3616156282997</v>
      </c>
      <c r="V16">
        <f t="shared" ref="V16" si="47">V14/V13</f>
        <v>2377.3516347850591</v>
      </c>
    </row>
    <row r="21" spans="1:22" x14ac:dyDescent="0.3">
      <c r="A21" s="1" t="s">
        <v>0</v>
      </c>
      <c r="B21" s="2"/>
      <c r="C21" s="5" t="s">
        <v>16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"/>
      <c r="R21" s="4"/>
      <c r="S21" s="4"/>
      <c r="T21" s="4"/>
      <c r="U21" s="4"/>
      <c r="V21" s="4"/>
    </row>
    <row r="22" spans="1:22" x14ac:dyDescent="0.3">
      <c r="A22" s="2"/>
      <c r="B22" s="2"/>
      <c r="C22" s="5" t="s">
        <v>5</v>
      </c>
      <c r="D22" s="5"/>
      <c r="F22" s="5" t="s">
        <v>11</v>
      </c>
      <c r="G22" s="5"/>
      <c r="H22" s="4"/>
      <c r="I22" s="5" t="s">
        <v>15</v>
      </c>
      <c r="J22" s="5"/>
      <c r="L22" s="5" t="s">
        <v>12</v>
      </c>
      <c r="M22" s="5"/>
      <c r="N22" s="4"/>
      <c r="O22" s="5" t="s">
        <v>13</v>
      </c>
      <c r="P22" s="5"/>
      <c r="Q22" s="4"/>
      <c r="R22" s="4"/>
      <c r="V22" s="4"/>
    </row>
    <row r="23" spans="1:22" x14ac:dyDescent="0.3">
      <c r="A23" s="2"/>
      <c r="B23" s="2"/>
      <c r="C23" s="4" t="s">
        <v>6</v>
      </c>
      <c r="D23" s="4" t="s">
        <v>8</v>
      </c>
      <c r="F23" s="4" t="s">
        <v>6</v>
      </c>
      <c r="G23" s="4" t="s">
        <v>8</v>
      </c>
      <c r="H23" s="4"/>
      <c r="I23" s="4" t="s">
        <v>6</v>
      </c>
      <c r="J23" s="4" t="s">
        <v>8</v>
      </c>
      <c r="L23" s="4" t="s">
        <v>6</v>
      </c>
      <c r="M23" s="4" t="s">
        <v>8</v>
      </c>
      <c r="O23" s="4" t="s">
        <v>6</v>
      </c>
      <c r="P23" s="4" t="s">
        <v>8</v>
      </c>
      <c r="R23" s="4"/>
      <c r="V23" s="4"/>
    </row>
    <row r="24" spans="1:22" x14ac:dyDescent="0.3">
      <c r="A24" s="6" t="s">
        <v>4</v>
      </c>
      <c r="B24" s="2" t="s">
        <v>2</v>
      </c>
      <c r="C24">
        <f>D5</f>
        <v>1.4746999999999999</v>
      </c>
      <c r="D24">
        <f>F5</f>
        <v>1.466</v>
      </c>
      <c r="F24">
        <f>H5</f>
        <v>1.4481999999999999</v>
      </c>
      <c r="G24">
        <f>J5</f>
        <v>1.4302999999999999</v>
      </c>
      <c r="I24">
        <f>L5</f>
        <v>1.4528000000000001</v>
      </c>
      <c r="J24">
        <f>N5</f>
        <v>1.4352</v>
      </c>
      <c r="L24">
        <f>P5</f>
        <v>1.4160999999999999</v>
      </c>
      <c r="M24">
        <f>R5</f>
        <v>1.3960999999999999</v>
      </c>
      <c r="O24">
        <f>T5</f>
        <v>1.4267000000000001</v>
      </c>
      <c r="P24">
        <f>V5</f>
        <v>1.4158999999999999</v>
      </c>
    </row>
    <row r="25" spans="1:22" x14ac:dyDescent="0.3">
      <c r="A25" s="6"/>
      <c r="B25" s="2" t="s">
        <v>17</v>
      </c>
      <c r="C25">
        <f>D6</f>
        <v>43.904699999999998</v>
      </c>
      <c r="D25">
        <f>F6</f>
        <v>43.709499999999998</v>
      </c>
      <c r="F25">
        <f>H6</f>
        <v>1555.9047</v>
      </c>
      <c r="G25">
        <f>J6</f>
        <v>1579.9494999999999</v>
      </c>
      <c r="I25">
        <f>L6</f>
        <v>6434.4342999999999</v>
      </c>
      <c r="J25">
        <f>N6</f>
        <v>6520.9951000000001</v>
      </c>
      <c r="L25">
        <f>P6</f>
        <v>6680.7853999999998</v>
      </c>
      <c r="M25">
        <f>R6</f>
        <v>6721.9166999999998</v>
      </c>
      <c r="O25">
        <f>T6</f>
        <v>7520.9544999999998</v>
      </c>
      <c r="P25">
        <f>V6</f>
        <v>7510.5847000000003</v>
      </c>
    </row>
    <row r="26" spans="1:22" x14ac:dyDescent="0.3">
      <c r="A26" s="6"/>
      <c r="B26" s="2" t="s">
        <v>18</v>
      </c>
      <c r="C26">
        <f>D7</f>
        <v>43.7316</v>
      </c>
      <c r="D26">
        <f>F7</f>
        <v>43.748800000000003</v>
      </c>
      <c r="F26">
        <f>H7</f>
        <v>1562.4690000000001</v>
      </c>
      <c r="G26">
        <f>J7</f>
        <v>1562.376</v>
      </c>
      <c r="I26">
        <f>L7</f>
        <v>6554.6489000000001</v>
      </c>
      <c r="J26">
        <f>N7</f>
        <v>6540.5190000000002</v>
      </c>
      <c r="L26">
        <f>P7</f>
        <v>7456.3600999999999</v>
      </c>
      <c r="M26">
        <f>R7</f>
        <v>7457.5905000000002</v>
      </c>
      <c r="O26">
        <f>T7</f>
        <v>7540.5213999999996</v>
      </c>
      <c r="P26">
        <f>V7</f>
        <v>7504.6233000000002</v>
      </c>
    </row>
    <row r="27" spans="1:22" x14ac:dyDescent="0.3">
      <c r="A27" s="6"/>
      <c r="B27" s="2" t="s">
        <v>3</v>
      </c>
      <c r="C27">
        <f>C25/C24</f>
        <v>29.771953617684954</v>
      </c>
      <c r="D27">
        <f>D25/D24</f>
        <v>29.815484311050476</v>
      </c>
      <c r="F27">
        <f t="shared" ref="F27" si="48">F25/F24</f>
        <v>1074.3714265985361</v>
      </c>
      <c r="G27">
        <f t="shared" ref="G27" si="49">G25/G24</f>
        <v>1104.6280500594282</v>
      </c>
      <c r="I27">
        <f t="shared" ref="I27" si="50">I25/I24</f>
        <v>4428.9883672907481</v>
      </c>
      <c r="J27">
        <f t="shared" ref="J27" si="51">J25/J24</f>
        <v>4543.6142001114831</v>
      </c>
      <c r="L27">
        <f t="shared" ref="L27" si="52">L25/L24</f>
        <v>4717.735611891816</v>
      </c>
      <c r="M27">
        <f t="shared" ref="M27" si="53">M25/M24</f>
        <v>4814.7816775302626</v>
      </c>
      <c r="O27">
        <f t="shared" ref="O27" si="54">O25/O24</f>
        <v>5271.5739118244901</v>
      </c>
      <c r="P27">
        <f t="shared" ref="P27" si="55">P25/P24</f>
        <v>5304.4598488593829</v>
      </c>
    </row>
    <row r="28" spans="1:22" x14ac:dyDescent="0.3">
      <c r="A28" s="6" t="s">
        <v>9</v>
      </c>
      <c r="B28" s="2" t="s">
        <v>2</v>
      </c>
      <c r="C28">
        <f>D9</f>
        <v>1178.5260000000001</v>
      </c>
      <c r="D28">
        <f>F9</f>
        <v>890.06020000000001</v>
      </c>
      <c r="F28">
        <f>H9</f>
        <v>1211.7537</v>
      </c>
      <c r="G28">
        <f>J9</f>
        <v>912.00649999999996</v>
      </c>
      <c r="I28">
        <f>L9</f>
        <v>1112.0155999999999</v>
      </c>
      <c r="J28">
        <f>N9</f>
        <v>858.79110000000003</v>
      </c>
      <c r="L28">
        <f>P9</f>
        <v>1081.1893</v>
      </c>
      <c r="M28">
        <f>R9</f>
        <v>858.18349999999998</v>
      </c>
      <c r="O28">
        <v>1111.0091</v>
      </c>
      <c r="P28">
        <f>V9</f>
        <v>861.61189999999999</v>
      </c>
    </row>
    <row r="29" spans="1:22" x14ac:dyDescent="0.3">
      <c r="A29" s="6"/>
      <c r="B29" s="2" t="s">
        <v>17</v>
      </c>
      <c r="C29">
        <f>D10</f>
        <v>571.42859999999996</v>
      </c>
      <c r="D29">
        <f>F10</f>
        <v>549.90380000000005</v>
      </c>
      <c r="F29">
        <f>H10</f>
        <v>34320.954299999998</v>
      </c>
      <c r="G29">
        <f>J10</f>
        <v>34042.552900000002</v>
      </c>
      <c r="I29">
        <f>L10</f>
        <v>225986.2052</v>
      </c>
      <c r="J29">
        <f>N10</f>
        <v>235402.29790000001</v>
      </c>
      <c r="L29">
        <f>P10</f>
        <v>830621.04920000001</v>
      </c>
      <c r="M29">
        <f>R10</f>
        <v>1096378.0903</v>
      </c>
      <c r="O29">
        <f>T10</f>
        <v>356004.61940000003</v>
      </c>
      <c r="P29">
        <f>V10</f>
        <v>483326.11969999998</v>
      </c>
    </row>
    <row r="30" spans="1:22" x14ac:dyDescent="0.3">
      <c r="A30" s="6"/>
      <c r="B30" s="2" t="s">
        <v>18</v>
      </c>
      <c r="C30">
        <f>D11</f>
        <v>603.25</v>
      </c>
      <c r="D30">
        <f>F11</f>
        <v>599.5204</v>
      </c>
      <c r="F30">
        <f>H11</f>
        <v>35210.784099999997</v>
      </c>
      <c r="G30">
        <f>J11</f>
        <v>36734.108800000002</v>
      </c>
      <c r="I30">
        <f>L11</f>
        <v>221106.60949999999</v>
      </c>
      <c r="J30">
        <f>N11</f>
        <v>246375.94</v>
      </c>
      <c r="L30">
        <f>P11</f>
        <v>815631.61250000005</v>
      </c>
      <c r="M30">
        <f>R11</f>
        <v>1065193.0251</v>
      </c>
      <c r="O30">
        <f>T11</f>
        <v>358966.13630000001</v>
      </c>
      <c r="P30">
        <f>V11</f>
        <v>479875.52250000002</v>
      </c>
    </row>
    <row r="31" spans="1:22" x14ac:dyDescent="0.3">
      <c r="A31" s="6"/>
      <c r="B31" s="2" t="s">
        <v>3</v>
      </c>
      <c r="C31">
        <f>C29/C28</f>
        <v>0.48486719851747007</v>
      </c>
      <c r="D31">
        <f>D29/D28</f>
        <v>0.61782764806245694</v>
      </c>
      <c r="F31">
        <f t="shared" ref="F31" si="56">F29/F28</f>
        <v>28.323374873953345</v>
      </c>
      <c r="G31">
        <f t="shared" ref="G31" si="57">G29/G28</f>
        <v>37.32709459855824</v>
      </c>
      <c r="I31">
        <f t="shared" ref="I31" si="58">I29/I28</f>
        <v>203.22215371798742</v>
      </c>
      <c r="J31">
        <f t="shared" ref="J31" si="59">J29/J28</f>
        <v>274.10891647572964</v>
      </c>
      <c r="L31">
        <f t="shared" ref="L31" si="60">L29/L28</f>
        <v>768.24756700792364</v>
      </c>
      <c r="M31">
        <f t="shared" ref="M31" si="61">M29/M28</f>
        <v>1277.5567117055969</v>
      </c>
      <c r="O31">
        <f>T12</f>
        <v>320.43357646665544</v>
      </c>
      <c r="P31">
        <f t="shared" ref="P31" si="62">P29/P28</f>
        <v>560.95571532844428</v>
      </c>
    </row>
    <row r="32" spans="1:22" x14ac:dyDescent="0.3">
      <c r="A32" s="6" t="s">
        <v>10</v>
      </c>
      <c r="B32" s="2" t="s">
        <v>2</v>
      </c>
      <c r="C32">
        <f>D13</f>
        <v>23.9206</v>
      </c>
      <c r="D32">
        <f>F13</f>
        <v>15.0428</v>
      </c>
      <c r="F32">
        <f>H13</f>
        <v>23.7059</v>
      </c>
      <c r="G32">
        <f>J13</f>
        <v>14.9077</v>
      </c>
      <c r="I32">
        <f>L13</f>
        <v>23.375900000000001</v>
      </c>
      <c r="J32">
        <f>N13</f>
        <v>14.9817</v>
      </c>
      <c r="L32">
        <f>P13</f>
        <v>23.613700000000001</v>
      </c>
      <c r="M32">
        <f>R13</f>
        <v>14.8847</v>
      </c>
      <c r="O32">
        <f>T13</f>
        <v>23.6295</v>
      </c>
      <c r="P32">
        <f>V13</f>
        <v>14.9041</v>
      </c>
    </row>
    <row r="33" spans="1:16" x14ac:dyDescent="0.3">
      <c r="A33" s="6"/>
      <c r="B33" s="2" t="s">
        <v>17</v>
      </c>
      <c r="C33">
        <f>D14</f>
        <v>88.514700000000005</v>
      </c>
      <c r="D33">
        <f>F14</f>
        <v>90.995900000000006</v>
      </c>
      <c r="F33">
        <f>H14</f>
        <v>3257.4947000000002</v>
      </c>
      <c r="G33">
        <f>J14</f>
        <v>3476.3243000000002</v>
      </c>
      <c r="I33">
        <f>L14</f>
        <v>26222.791499999999</v>
      </c>
      <c r="J33">
        <f>N14</f>
        <v>27997.264899999998</v>
      </c>
      <c r="L33">
        <f>P14</f>
        <v>32483.7667</v>
      </c>
      <c r="M33">
        <f>R14</f>
        <v>35223.520400000001</v>
      </c>
      <c r="O33">
        <f>T14</f>
        <v>32664.190200000001</v>
      </c>
      <c r="P33">
        <f>V14</f>
        <v>35432.286500000002</v>
      </c>
    </row>
    <row r="34" spans="1:16" x14ac:dyDescent="0.3">
      <c r="A34" s="6"/>
      <c r="B34" s="2" t="s">
        <v>18</v>
      </c>
      <c r="C34">
        <f>D15</f>
        <v>99.727599999999995</v>
      </c>
      <c r="D34">
        <f>F15</f>
        <v>98.6601</v>
      </c>
      <c r="F34">
        <f>H15</f>
        <v>2191.6118999999999</v>
      </c>
      <c r="G34">
        <f>J15</f>
        <v>2190.2806999999998</v>
      </c>
      <c r="I34">
        <f>L15</f>
        <v>17605.845499999999</v>
      </c>
      <c r="J34">
        <f>N15</f>
        <v>17655.171999999999</v>
      </c>
      <c r="L34">
        <f>P15</f>
        <v>20554.832399999999</v>
      </c>
      <c r="M34">
        <f>R15</f>
        <v>20576.4519</v>
      </c>
      <c r="O34">
        <f>T15</f>
        <v>20630.2546</v>
      </c>
      <c r="P34">
        <f>V15</f>
        <v>20638.781900000002</v>
      </c>
    </row>
    <row r="35" spans="1:16" x14ac:dyDescent="0.3">
      <c r="A35" s="6"/>
      <c r="B35" s="2" t="s">
        <v>3</v>
      </c>
      <c r="C35">
        <f>C33/C32</f>
        <v>3.7003545061578724</v>
      </c>
      <c r="D35">
        <f>D33/D32</f>
        <v>6.0491331401068953</v>
      </c>
      <c r="F35">
        <f t="shared" ref="F35" si="63">F33/F32</f>
        <v>137.41282549913734</v>
      </c>
      <c r="G35">
        <f t="shared" ref="G35" si="64">G33/G32</f>
        <v>233.18984819925274</v>
      </c>
      <c r="I35">
        <f t="shared" ref="I35" si="65">I33/I32</f>
        <v>1121.7874605897525</v>
      </c>
      <c r="J35">
        <f t="shared" ref="J35" si="66">J33/J32</f>
        <v>1868.7642190138636</v>
      </c>
      <c r="L35">
        <f t="shared" ref="L35" si="67">L33/L32</f>
        <v>1375.6322262076676</v>
      </c>
      <c r="M35">
        <f t="shared" ref="M35" si="68">M33/M32</f>
        <v>2366.4246105060902</v>
      </c>
      <c r="O35">
        <f t="shared" ref="O35" si="69">O33/O32</f>
        <v>1382.3479210309147</v>
      </c>
      <c r="P35">
        <f t="shared" ref="P35" si="70">P33/P32</f>
        <v>2377.3516347850591</v>
      </c>
    </row>
  </sheetData>
  <mergeCells count="28">
    <mergeCell ref="C1:V1"/>
    <mergeCell ref="C3:D3"/>
    <mergeCell ref="E3:F3"/>
    <mergeCell ref="G2:J2"/>
    <mergeCell ref="G3:H3"/>
    <mergeCell ref="I3:J3"/>
    <mergeCell ref="A24:A27"/>
    <mergeCell ref="A28:A31"/>
    <mergeCell ref="A32:A35"/>
    <mergeCell ref="S2:V2"/>
    <mergeCell ref="S3:T3"/>
    <mergeCell ref="U3:V3"/>
    <mergeCell ref="A5:A8"/>
    <mergeCell ref="A9:A12"/>
    <mergeCell ref="A13:A16"/>
    <mergeCell ref="K2:N2"/>
    <mergeCell ref="K3:L3"/>
    <mergeCell ref="M3:N3"/>
    <mergeCell ref="O2:R2"/>
    <mergeCell ref="O3:P3"/>
    <mergeCell ref="Q3:R3"/>
    <mergeCell ref="C2:F2"/>
    <mergeCell ref="C21:P21"/>
    <mergeCell ref="C22:D22"/>
    <mergeCell ref="F22:G22"/>
    <mergeCell ref="I22:J22"/>
    <mergeCell ref="L22:M22"/>
    <mergeCell ref="O22:P22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2026-06-03T00:11:25Z</dcterms:created>
  <dcterms:modified xsi:type="dcterms:W3CDTF">2026-06-07T22:00:44Z</dcterms:modified>
</cp:coreProperties>
</file>